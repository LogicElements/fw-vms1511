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D:\work\gitlab\fw-vms1511\Documents\"/>
    </mc:Choice>
  </mc:AlternateContent>
  <xr:revisionPtr revIDLastSave="0" documentId="13_ncr:1_{CD625ABF-DEDB-49D6-B9CF-A7C7FCA6FBD0}" xr6:coauthVersionLast="47" xr6:coauthVersionMax="47" xr10:uidLastSave="{00000000-0000-0000-0000-000000000000}"/>
  <bookViews>
    <workbookView xWindow="26280" yWindow="495" windowWidth="24990" windowHeight="205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8" i="25" l="1"/>
  <c r="I78" i="25"/>
  <c r="L74" i="25"/>
  <c r="K74" i="25"/>
  <c r="I74" i="25"/>
  <c r="K70" i="25"/>
  <c r="K71" i="25"/>
  <c r="K72" i="25"/>
  <c r="K73" i="25"/>
  <c r="I70" i="25"/>
  <c r="I71" i="25" s="1"/>
  <c r="I72" i="25" s="1"/>
  <c r="I73" i="25" s="1"/>
  <c r="I69" i="25"/>
  <c r="K69" i="25"/>
  <c r="L69" i="25"/>
  <c r="K29" i="25"/>
  <c r="K27" i="25"/>
  <c r="K21" i="25"/>
  <c r="K22" i="25"/>
  <c r="K23" i="25"/>
  <c r="K24" i="25"/>
  <c r="K25" i="25"/>
  <c r="K26" i="25"/>
  <c r="K82" i="25"/>
  <c r="K64" i="25"/>
  <c r="K68" i="25"/>
  <c r="L65" i="25"/>
  <c r="I65" i="25"/>
  <c r="K65" i="25" s="1"/>
  <c r="L64" i="25"/>
  <c r="L82"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0" i="25"/>
  <c r="F9" i="25"/>
  <c r="F8" i="25"/>
  <c r="I75" i="25" l="1"/>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76" i="25" l="1"/>
  <c r="K75" i="25"/>
  <c r="I39" i="25"/>
  <c r="I77" i="25" l="1"/>
  <c r="K77" i="25" s="1"/>
  <c r="K76" i="25"/>
  <c r="I40" i="25"/>
  <c r="K39" i="25"/>
  <c r="I41" i="25" l="1"/>
  <c r="K41" i="25" s="1"/>
  <c r="K40" i="25"/>
  <c r="I18" i="25" l="1"/>
  <c r="F12" i="25"/>
  <c r="F7" i="25"/>
  <c r="K18" i="25" l="1"/>
  <c r="I19" i="25"/>
  <c r="I20" i="25" s="1"/>
  <c r="I21" i="25" s="1"/>
  <c r="I22" i="25" s="1"/>
  <c r="I23" i="25" s="1"/>
  <c r="I24" i="25" l="1"/>
  <c r="I25" i="25"/>
  <c r="I26" i="25" s="1"/>
  <c r="I27" i="25" s="1"/>
  <c r="I28" i="25" s="1"/>
  <c r="I29" i="25" s="1"/>
  <c r="K19" i="25"/>
  <c r="I34" i="25"/>
  <c r="K34" i="25" s="1"/>
  <c r="K20" i="25" l="1"/>
  <c r="I35" i="25"/>
  <c r="I36" i="25" l="1"/>
  <c r="K36" i="25" s="1"/>
  <c r="K35" i="25"/>
  <c r="K28" i="25" l="1"/>
</calcChain>
</file>

<file path=xl/sharedStrings.xml><?xml version="1.0" encoding="utf-8"?>
<sst xmlns="http://schemas.openxmlformats.org/spreadsheetml/2006/main" count="429" uniqueCount="279">
  <si>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</si>
  <si>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</si>
  <si>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</si>
  <si>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</si>
  <si>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</si>
  <si>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</si>
  <si>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</si>
  <si>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</si>
  <si>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</si>
  <si>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</si>
  <si>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</si>
  <si>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</si>
  <si>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</si>
  <si>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</si>
  <si>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</si>
  <si>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</si>
  <si>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</si>
  <si>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</si>
  <si>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</si>
  <si>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</si>
  <si>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</si>
  <si>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</si>
  <si>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</si>
  <si>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</si>
  <si>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</si>
  <si>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</si>
  <si>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</si>
  <si>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</si>
  <si>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</si>
  <si>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</si>
  <si>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</si>
  <si>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</si>
  <si>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</si>
  <si>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</si>
  <si>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</si>
  <si>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</si>
  <si>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</si>
  <si>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</si>
  <si>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</si>
  <si>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</si>
  <si>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</si>
  <si>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</si>
  <si>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</si>
  <si>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</si>
  <si>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</si>
  <si>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</si>
  <si>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</si>
  <si>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</si>
  <si>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</si>
  <si>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</si>
  <si>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</si>
  <si>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</si>
  <si>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</si>
  <si>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</si>
  <si>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</si>
  <si>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</si>
  <si>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</si>
  <si>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</si>
  <si>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</si>
  <si>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</si>
  <si>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</si>
  <si>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</si>
  <si>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</si>
  <si>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</si>
  <si>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</si>
  <si>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</si>
  <si>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</si>
  <si>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</si>
  <si>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</si>
  <si>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</si>
  <si>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</si>
  <si>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</si>
  <si>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</si>
  <si>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</si>
  <si>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</si>
  <si>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</si>
  <si>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</si>
  <si>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</si>
  <si>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</si>
  <si>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</si>
  <si>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</si>
  <si>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</si>
  <si>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</si>
  <si>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</si>
  <si>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</si>
  <si>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</si>
  <si>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</si>
  <si>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</si>
  <si>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</si>
  <si>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</si>
  <si>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</si>
  <si>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</si>
  <si>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</si>
  <si>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</si>
  <si>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</si>
  <si>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</si>
  <si>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</si>
  <si>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</si>
  <si>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</si>
  <si>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</si>
  <si>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</si>
  <si>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</si>
  <si>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</si>
  <si>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</si>
  <si>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</si>
  <si>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</si>
  <si>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</si>
  <si>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</si>
  <si>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</si>
  <si>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</si>
  <si>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</si>
  <si>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</si>
  <si>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</si>
  <si>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</si>
  <si>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</si>
  <si>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</si>
  <si>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</si>
  <si>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</si>
  <si>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</si>
  <si>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</si>
  <si>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</si>
  <si>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</si>
  <si>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</si>
  <si>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</si>
  <si>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</si>
  <si>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</si>
  <si>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</si>
  <si>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</si>
  <si>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</si>
  <si>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</si>
  <si>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</si>
  <si>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</si>
  <si>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</si>
  <si>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</si>
  <si>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</si>
  <si>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</si>
  <si>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</si>
  <si>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</si>
  <si>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</si>
  <si>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</si>
  <si>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</si>
  <si>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</si>
  <si>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</si>
  <si>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</si>
  <si>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</si>
  <si>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</si>
  <si>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</si>
  <si>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</si>
  <si>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</si>
  <si>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</si>
  <si>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</si>
  <si>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</si>
  <si>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</si>
  <si>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</si>
  <si>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</si>
  <si>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</si>
  <si>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</si>
  <si>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</si>
  <si>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</si>
  <si>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</si>
  <si>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</si>
  <si>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</si>
  <si>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</si>
  <si>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</si>
  <si>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</si>
  <si>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</si>
  <si>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</si>
  <si>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</si>
  <si>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</si>
  <si>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</si>
  <si>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</si>
  <si>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</si>
  <si>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</si>
  <si>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</si>
  <si>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</si>
  <si>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</si>
  <si>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</si>
  <si>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</si>
  <si>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</si>
  <si>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</si>
  <si>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</si>
  <si>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</si>
  <si>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</si>
  <si>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</si>
  <si>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</si>
  <si>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</si>
  <si>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</si>
  <si>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</si>
  <si>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</si>
  <si>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</si>
  <si>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</si>
  <si>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</si>
  <si>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</si>
  <si>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</si>
  <si>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</si>
  <si>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</si>
  <si>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</si>
  <si>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</si>
  <si>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</si>
  <si>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</si>
  <si>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</si>
  <si>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</si>
  <si>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</si>
  <si>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</si>
  <si>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</si>
  <si>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</si>
  <si>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</si>
  <si>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</si>
  <si>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</si>
  <si>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</si>
  <si>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</si>
  <si>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</si>
  <si>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</si>
  <si>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</si>
  <si>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</si>
  <si>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</si>
  <si>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</si>
  <si>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</si>
  <si>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</si>
  <si>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</si>
  <si>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</si>
  <si>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</si>
  <si>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</si>
  <si>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</si>
  <si>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</si>
  <si>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</si>
  <si>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</si>
  <si>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</si>
  <si>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</si>
  <si>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</si>
  <si>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</si>
  <si>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</si>
  <si>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</si>
  <si>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</si>
  <si>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</si>
  <si>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</si>
  <si>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</si>
  <si>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</si>
  <si>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</si>
  <si>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</si>
  <si>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</si>
  <si>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</si>
  <si>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</si>
  <si>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</si>
  <si>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</si>
  <si>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</si>
  <si>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HA 100</t>
  </si>
  <si>
    <t>AMP</t>
  </si>
  <si>
    <t>AMPLIFIER</t>
  </si>
  <si>
    <t>Amplifier configuration</t>
  </si>
  <si>
    <t>Debug information</t>
  </si>
  <si>
    <t>GAIN</t>
  </si>
  <si>
    <t>Amplifier gain</t>
  </si>
  <si>
    <t>GAIN_1</t>
  </si>
  <si>
    <t>GAIN_3</t>
  </si>
  <si>
    <t>GAIN_10</t>
  </si>
  <si>
    <t>GAIN_20</t>
  </si>
  <si>
    <t>Gain 1 x</t>
  </si>
  <si>
    <t>Gain 3 x</t>
  </si>
  <si>
    <t>Gain 10 x</t>
  </si>
  <si>
    <t>Gain 20 x</t>
  </si>
  <si>
    <t>LOAD</t>
  </si>
  <si>
    <t>LOAD_100R</t>
  </si>
  <si>
    <t>LOAD_1k</t>
  </si>
  <si>
    <t>LOAD_2k</t>
  </si>
  <si>
    <t>LOAD_10k</t>
  </si>
  <si>
    <t>stop</t>
  </si>
  <si>
    <t>Load 100 Ohm</t>
  </si>
  <si>
    <t>Load 1 kOhm</t>
  </si>
  <si>
    <t>Load 2 kOhm</t>
  </si>
  <si>
    <t>Load 10 kOhm</t>
  </si>
  <si>
    <t>Input Load</t>
  </si>
  <si>
    <t>D:\work\gitlab\fw-vms1511\Documents\txts\Vms1511_Define.txt</t>
  </si>
  <si>
    <t>D:\work\gitlab\fw-vms1511\Documents\txts\Vms1511_Storage.txt</t>
  </si>
  <si>
    <t>D:\work\gitlab\fw-vms1511\Documents\txts\Vms1511_Factory.txt</t>
  </si>
  <si>
    <t>D:\work\gitlab\fw-vms1511\Documents\txts\reg_map.c</t>
  </si>
  <si>
    <t>D:\work\gitlab\fw-vms1511\Documents\txts\Vms1511_Modbus.json</t>
  </si>
  <si>
    <t>D:\work\gitlab\fw-vms1511\Documents\txts\Vms1511Regs.py</t>
  </si>
  <si>
    <t>D:\work\gitlab\fw-vms1511\Documents\txts\Vms1511_registers.json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</si>
</sst>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9">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xf numFmtId="0" fontId="0" fillId="0" borderId="0" xfId="0" applyFont="1" applyAlignment="1">
      <alignment horizontal="center"/>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B1" zoomScaleNormal="100" workbookViewId="0">
      <selection activeCell="R11" sqref="R11"/>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275</v>
      </c>
      <c r="T3" s="31"/>
    </row>
    <row r="4" spans="1:26" ht="24.95" customHeight="1" x14ac:dyDescent="0.25">
      <c r="D4" s="31" t="s">
        <v>18</v>
      </c>
      <c r="E4" s="31"/>
      <c r="F4" s="31" t="s">
        <v>113</v>
      </c>
      <c r="J4" s="3" t="s">
        <v>1</v>
      </c>
      <c r="K4" s="9" t="s">
        <v>5</v>
      </c>
      <c r="L4" s="8" t="s">
        <v>272</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273</v>
      </c>
      <c r="M6" s="11"/>
      <c r="U6" s="12" t="s">
        <v>1</v>
      </c>
      <c r="Z6" s="10"/>
    </row>
    <row r="7" spans="1:26" ht="24.95" customHeight="1" x14ac:dyDescent="0.25">
      <c r="D7" s="31" t="s">
        <v>143</v>
      </c>
      <c r="E7" s="13"/>
      <c r="F7" s="31" t="str">
        <f>GetWorkName()</f>
        <v>Vms1511</v>
      </c>
      <c r="J7" s="3" t="s">
        <v>1</v>
      </c>
      <c r="K7" s="9" t="s">
        <v>21</v>
      </c>
      <c r="L7" s="8" t="s">
        <v>274</v>
      </c>
      <c r="M7" s="11"/>
      <c r="U7" s="12" t="s">
        <v>1</v>
      </c>
      <c r="Z7" s="10"/>
    </row>
    <row r="8" spans="1:26" ht="24.95" customHeight="1" x14ac:dyDescent="0.25">
      <c r="D8" s="31" t="s">
        <v>117</v>
      </c>
      <c r="E8" s="13"/>
      <c r="F8" s="31" t="str">
        <f>GetPath()&amp;"\..\Firmware\Vms1511-APP\Core\Common\"</f>
        <v>D:\work\gitlab\fw-vms1511\Documents\..\Firmware\Vms1511-APP\Core\Common\</v>
      </c>
      <c r="J8" s="3" t="s">
        <v>1</v>
      </c>
      <c r="K8" s="9" t="s">
        <v>145</v>
      </c>
      <c r="L8" s="8" t="s">
        <v>276</v>
      </c>
      <c r="M8" s="11"/>
      <c r="U8" s="12" t="s">
        <v>1</v>
      </c>
      <c r="Z8" s="10"/>
    </row>
    <row r="9" spans="1:26" ht="24.95" customHeight="1" x14ac:dyDescent="0.25">
      <c r="D9" s="31" t="s">
        <v>148</v>
      </c>
      <c r="E9" s="13"/>
      <c r="F9" s="31" t="str">
        <f>GetPath()&amp;"\..\Firmware\Vms1511-APP\Core\Serial\"</f>
        <v>D:\work\gitlab\fw-vms1511\Documents\..\Firmware\Vms1511-APP\Core\Serial\</v>
      </c>
      <c r="J9" s="3"/>
      <c r="K9" s="9" t="s">
        <v>1</v>
      </c>
      <c r="L9" s="8" t="s">
        <v>277</v>
      </c>
      <c r="M9" s="11"/>
      <c r="Z9" s="10"/>
    </row>
    <row r="10" spans="1:26" ht="24.95" customHeight="1" x14ac:dyDescent="0.25">
      <c r="D10" s="31" t="s">
        <v>153</v>
      </c>
      <c r="E10" s="13"/>
      <c r="F10" s="31" t="str">
        <f>GetPath()&amp;"\..\Tests\vms-1511\"</f>
        <v>D:\work\gitlab\fw-vms1511\Documents\..\Tests\vms-1511\</v>
      </c>
      <c r="K10" s="9" t="s">
        <v>154</v>
      </c>
      <c r="L10" s="8" t="s">
        <v>278</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39</v>
      </c>
      <c r="H16" s="46" t="s">
        <v>11</v>
      </c>
      <c r="I16" s="44" t="s">
        <v>0</v>
      </c>
      <c r="J16" s="46" t="s">
        <v>13</v>
      </c>
      <c r="K16" s="44" t="s">
        <v>16</v>
      </c>
      <c r="L16" s="44" t="s">
        <v>2</v>
      </c>
      <c r="M16" s="51" t="s">
        <v>134</v>
      </c>
      <c r="N16" s="46" t="s">
        <v>14</v>
      </c>
      <c r="O16" s="48" t="s">
        <v>118</v>
      </c>
      <c r="P16" s="48" t="s">
        <v>119</v>
      </c>
      <c r="Q16" s="48" t="s">
        <v>123</v>
      </c>
      <c r="R16" s="48" t="s">
        <v>149</v>
      </c>
      <c r="S16" s="50" t="s">
        <v>101</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189</v>
      </c>
      <c r="M24" t="s">
        <v>190</v>
      </c>
      <c r="N24" s="29"/>
      <c r="O24" s="29"/>
      <c r="P24" s="29"/>
      <c r="Q24" s="29"/>
      <c r="R24" s="29"/>
      <c r="T24" t="s">
        <v>191</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192</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193</v>
      </c>
      <c r="N29" s="29"/>
      <c r="O29" s="29">
        <v>0</v>
      </c>
      <c r="P29" s="3" t="s">
        <v>194</v>
      </c>
      <c r="Q29" s="29"/>
      <c r="R29" s="29"/>
      <c r="T29" t="s">
        <v>195</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196</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197</v>
      </c>
      <c r="N44" s="29">
        <v>1</v>
      </c>
      <c r="O44" s="29">
        <v>0</v>
      </c>
      <c r="P44" s="29">
        <v>4</v>
      </c>
      <c r="Q44" s="29"/>
      <c r="R44" s="29"/>
      <c r="S44" s="29"/>
      <c r="T44" t="s">
        <v>198</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199</v>
      </c>
      <c r="M45" s="41">
        <v>9600</v>
      </c>
      <c r="N45" s="29"/>
      <c r="O45" s="29"/>
      <c r="P45" s="29"/>
      <c r="Q45" s="29"/>
      <c r="R45" s="29"/>
      <c r="S45" s="29"/>
      <c r="T45" t="s">
        <v>200</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201</v>
      </c>
      <c r="M46" s="41">
        <v>19200</v>
      </c>
      <c r="N46" s="29"/>
      <c r="O46" s="29"/>
      <c r="P46" s="29"/>
      <c r="Q46" s="29"/>
      <c r="R46" s="29"/>
      <c r="S46" s="29"/>
      <c r="T46" t="s">
        <v>202</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203</v>
      </c>
      <c r="M47" s="41">
        <v>38400</v>
      </c>
      <c r="N47" s="29"/>
      <c r="O47" s="29"/>
      <c r="P47" s="29"/>
      <c r="Q47" s="29"/>
      <c r="R47" s="29"/>
      <c r="S47" s="29"/>
      <c r="T47" t="s">
        <v>204</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205</v>
      </c>
      <c r="M48" s="41">
        <v>57600</v>
      </c>
      <c r="N48" s="29"/>
      <c r="O48" s="29"/>
      <c r="P48" s="29"/>
      <c r="Q48" s="29"/>
      <c r="R48" s="29"/>
      <c r="S48" s="29"/>
      <c r="T48" t="s">
        <v>206</v>
      </c>
    </row>
    <row r="49" spans="4:20"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207</v>
      </c>
      <c r="M49" s="41">
        <v>115200</v>
      </c>
      <c r="N49" s="29"/>
      <c r="O49" s="29"/>
      <c r="P49" s="29"/>
      <c r="Q49" s="29"/>
      <c r="R49" s="29"/>
      <c r="S49" s="29"/>
      <c r="T49" t="s">
        <v>208</v>
      </c>
    </row>
    <row r="50" spans="4:20" s="34" customFormat="1" x14ac:dyDescent="0.25">
      <c r="D50" s="40"/>
      <c r="E50" t="s">
        <v>209</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210</v>
      </c>
      <c r="N50" s="29">
        <v>1</v>
      </c>
      <c r="O50" s="29">
        <v>0</v>
      </c>
      <c r="P50" s="29">
        <v>2</v>
      </c>
      <c r="Q50" s="29"/>
      <c r="R50" s="29"/>
      <c r="S50" s="29"/>
      <c r="T50" t="s">
        <v>211</v>
      </c>
    </row>
    <row r="51" spans="4:20"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212</v>
      </c>
      <c r="M51" s="41" t="s">
        <v>213</v>
      </c>
      <c r="N51" s="29"/>
      <c r="O51" s="29"/>
      <c r="P51" s="29"/>
      <c r="Q51" s="29"/>
      <c r="R51" s="29"/>
      <c r="S51" s="29"/>
      <c r="T51" t="s">
        <v>214</v>
      </c>
    </row>
    <row r="52" spans="4:20"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215</v>
      </c>
      <c r="M52" t="s">
        <v>216</v>
      </c>
      <c r="N52" s="29"/>
      <c r="O52" s="29"/>
      <c r="P52" s="29"/>
      <c r="Q52" s="29"/>
      <c r="R52" s="29"/>
      <c r="S52" s="29"/>
      <c r="T52" t="s">
        <v>217</v>
      </c>
    </row>
    <row r="53" spans="4:20"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218</v>
      </c>
      <c r="M53" t="s">
        <v>219</v>
      </c>
      <c r="N53" s="29"/>
      <c r="O53" s="29"/>
      <c r="P53" s="29"/>
      <c r="Q53" s="29"/>
      <c r="R53" s="29"/>
      <c r="S53" s="29"/>
      <c r="T53" t="s">
        <v>220</v>
      </c>
    </row>
    <row r="54" spans="4:20" s="34" customFormat="1" x14ac:dyDescent="0.25">
      <c r="D54" s="40"/>
      <c r="E54" t="s">
        <v>221</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222</v>
      </c>
      <c r="N54" s="29">
        <v>0</v>
      </c>
      <c r="O54" s="29">
        <v>0</v>
      </c>
      <c r="P54" s="29">
        <v>1</v>
      </c>
      <c r="Q54" s="29"/>
      <c r="R54" s="29"/>
      <c r="S54" s="29"/>
      <c r="T54" t="s">
        <v>223</v>
      </c>
    </row>
    <row r="55" spans="4:20"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224</v>
      </c>
      <c r="M55" t="s">
        <v>225</v>
      </c>
      <c r="N55" s="29"/>
      <c r="O55" s="29"/>
      <c r="P55" s="29"/>
      <c r="Q55" s="29"/>
      <c r="R55" s="29"/>
      <c r="S55" s="29"/>
      <c r="T55" t="s">
        <v>225</v>
      </c>
    </row>
    <row r="56" spans="4:20"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226</v>
      </c>
      <c r="M56" t="s">
        <v>227</v>
      </c>
      <c r="N56" s="29"/>
      <c r="O56" s="29"/>
      <c r="P56" s="29"/>
      <c r="Q56" s="29"/>
      <c r="R56" s="29"/>
      <c r="S56" s="29"/>
      <c r="T56" t="s">
        <v>227</v>
      </c>
    </row>
    <row r="57" spans="4:20" s="34" customFormat="1" x14ac:dyDescent="0.25">
      <c r="D57" s="40"/>
      <c r="E57" t="s">
        <v>228</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229</v>
      </c>
      <c r="S57" s="29"/>
      <c r="T57"/>
    </row>
    <row r="58" spans="4:20" s="34" customFormat="1" x14ac:dyDescent="0.25">
      <c r="D58" s="40"/>
      <c r="E58" t="s">
        <v>230</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231</v>
      </c>
      <c r="N58" s="29">
        <v>32</v>
      </c>
      <c r="O58" s="29">
        <v>32</v>
      </c>
      <c r="P58" s="29">
        <v>63</v>
      </c>
      <c r="Q58" s="29"/>
      <c r="R58" s="29" t="s">
        <v>229</v>
      </c>
      <c r="S58" s="29"/>
      <c r="T58" t="s">
        <v>232</v>
      </c>
    </row>
    <row r="59" spans="4:20" s="34" customFormat="1" x14ac:dyDescent="0.25">
      <c r="D59" s="40"/>
      <c r="E59" t="s">
        <v>233</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234</v>
      </c>
      <c r="N59" s="29"/>
      <c r="O59" s="29">
        <v>0</v>
      </c>
      <c r="P59" s="29">
        <v>1</v>
      </c>
      <c r="Q59" s="29"/>
      <c r="R59" s="29"/>
      <c r="S59" s="29"/>
      <c r="T59" t="s">
        <v>235</v>
      </c>
    </row>
    <row r="60" spans="4:20" s="34" customFormat="1" x14ac:dyDescent="0.25">
      <c r="D60" s="40"/>
      <c r="E60" t="s">
        <v>236</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190</v>
      </c>
      <c r="N60" s="29">
        <v>10</v>
      </c>
      <c r="O60" s="29">
        <v>0</v>
      </c>
      <c r="P60" s="29">
        <v>7200</v>
      </c>
      <c r="Q60" s="3" t="s">
        <v>124</v>
      </c>
      <c r="R60" s="29"/>
      <c r="S60" s="29"/>
      <c r="T60" t="s">
        <v>237</v>
      </c>
    </row>
    <row r="61" spans="4:20" s="34" customFormat="1" x14ac:dyDescent="0.25">
      <c r="D61" s="40"/>
      <c r="F61" s="29"/>
      <c r="K61" s="10"/>
      <c r="N61" s="29"/>
      <c r="O61" s="29"/>
      <c r="P61" s="29"/>
      <c r="Q61" s="29"/>
      <c r="R61" s="29"/>
    </row>
    <row r="63" spans="4:20" s="34" customFormat="1" x14ac:dyDescent="0.25">
      <c r="D63" s="40"/>
      <c r="F63" s="29"/>
      <c r="G63" s="29"/>
      <c r="H63" s="29"/>
      <c r="I63" s="29"/>
      <c r="J63" s="29"/>
      <c r="K63" s="10"/>
      <c r="L63" s="29"/>
      <c r="N63" s="29"/>
      <c r="O63" s="29"/>
      <c r="P63" s="29"/>
      <c r="Q63" s="29"/>
      <c r="R63" s="29"/>
      <c r="S63" s="29"/>
      <c r="T63"/>
    </row>
    <row r="64" spans="4:20" s="34" customFormat="1" x14ac:dyDescent="0.25">
      <c r="D64" s="40"/>
      <c r="E64" s="2" t="s">
        <v>243</v>
      </c>
      <c r="F64" s="3" t="s">
        <v>183</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244</v>
      </c>
      <c r="N64" s="29">
        <v>0</v>
      </c>
      <c r="O64" s="29">
        <v>0</v>
      </c>
      <c r="P64" s="29">
        <v>24</v>
      </c>
      <c r="Q64" s="29"/>
      <c r="R64" s="29"/>
      <c r="S64" s="3"/>
      <c r="T64" t="s">
        <v>245</v>
      </c>
    </row>
    <row r="65" spans="1:35" s="34" customFormat="1" x14ac:dyDescent="0.25">
      <c r="D65" s="40"/>
      <c r="E65" s="2" t="s">
        <v>228</v>
      </c>
      <c r="F65" s="3" t="s">
        <v>183</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L67" si="7">IF(AND(LEN(E65)&lt;&gt;0,S65=""),F65&amp;"_"&amp;UPPER(E65),"")</f>
        <v>CALIB_RESERVED</v>
      </c>
      <c r="M65" t="s">
        <v>89</v>
      </c>
      <c r="N65" s="29"/>
      <c r="O65" s="29"/>
      <c r="P65" s="29"/>
      <c r="Q65" s="29"/>
      <c r="R65" s="29"/>
      <c r="S65" s="3"/>
      <c r="T65" t="s">
        <v>52</v>
      </c>
    </row>
    <row r="66" spans="1:35" s="34" customFormat="1" x14ac:dyDescent="0.25">
      <c r="D66" s="40"/>
      <c r="E66"/>
      <c r="F66" s="3"/>
      <c r="G66" s="3"/>
      <c r="H66" s="3"/>
      <c r="I66" s="33"/>
      <c r="J66" s="3"/>
      <c r="K66" s="10"/>
      <c r="L66" s="29"/>
      <c r="M66"/>
      <c r="N66" s="29"/>
      <c r="O66" s="29"/>
      <c r="P66" s="29"/>
      <c r="Q66" s="3"/>
      <c r="R66" s="3"/>
      <c r="T66"/>
    </row>
    <row r="67" spans="1:35" s="34" customFormat="1" x14ac:dyDescent="0.25">
      <c r="D67" s="40"/>
      <c r="E67"/>
      <c r="F67" s="3"/>
      <c r="G67" s="3"/>
      <c r="H67" s="3"/>
      <c r="I67" s="33"/>
      <c r="J67" s="3"/>
      <c r="K67" s="10"/>
      <c r="L67" s="29"/>
      <c r="M67"/>
      <c r="N67" s="29"/>
      <c r="O67" s="29"/>
      <c r="P67" s="29"/>
      <c r="Q67" s="3"/>
      <c r="R67" s="3"/>
      <c r="T67"/>
    </row>
    <row r="68" spans="1:35" s="10" customFormat="1" x14ac:dyDescent="0.25">
      <c r="A68" s="12"/>
      <c r="B68" s="12"/>
      <c r="C68" s="12"/>
      <c r="D68"/>
      <c r="E68" s="24"/>
      <c r="F68" s="23"/>
      <c r="G68" s="23"/>
      <c r="H68" s="26"/>
      <c r="I68" s="22"/>
      <c r="J68" s="22"/>
      <c r="K68" s="10">
        <f xml:space="preserve"> IFERROR("0x" &amp; DEC2HEX(VLOOKUP(F68,Common!$C$10:$D$34,2,FALSE),2) &amp; DEC2HEX(I68,3) &amp; DEC2HEX(VLOOKUP(G68,Common!$C$51:$D$55,2,FALSE),1) &amp; DEC2HEX(1+2*VLOOKUP(H68,Common!$C$69:$D$72,2,FALSE),1) &amp; DEC2HEX(IFERROR(LOG(J68,2),0),1),0)</f>
        <v>0</v>
      </c>
      <c r="L68" s="22"/>
      <c r="M68" s="21"/>
      <c r="N68" s="22"/>
      <c r="O68" s="22"/>
      <c r="P68" s="22"/>
      <c r="Q68" s="22"/>
      <c r="R68" s="28"/>
      <c r="S68" s="22"/>
      <c r="T68" s="21"/>
      <c r="U68"/>
      <c r="V68"/>
      <c r="W68"/>
      <c r="X68"/>
      <c r="Y68"/>
      <c r="Z68" s="12"/>
      <c r="AA68" s="12"/>
      <c r="AB68" s="12"/>
      <c r="AC68" s="12"/>
      <c r="AD68" s="12"/>
      <c r="AE68" s="12"/>
      <c r="AF68" s="12"/>
      <c r="AG68" s="12"/>
      <c r="AH68" s="12"/>
      <c r="AI68" s="12"/>
    </row>
    <row r="69" spans="1:35" s="34" customFormat="1" x14ac:dyDescent="0.25">
      <c r="D69" s="40"/>
      <c r="E69" t="s">
        <v>251</v>
      </c>
      <c r="F69" s="3" t="s">
        <v>247</v>
      </c>
      <c r="G69" s="3" t="s">
        <v>114</v>
      </c>
      <c r="H69" s="3" t="s">
        <v>47</v>
      </c>
      <c r="I69" s="33">
        <f xml:space="preserve"> I68+J68</f>
        <v>0</v>
      </c>
      <c r="J69" s="29">
        <v>1</v>
      </c>
      <c r="K69" s="10" t="str">
        <f xml:space="preserve"> IFERROR("0x" &amp; DEC2HEX(VLOOKUP(F69,Common!$C$10:$D$34,2,FALSE),2) &amp; DEC2HEX(I69,3) &amp; DEC2HEX(VLOOKUP(G69,Common!$C$51:$D$55,2,FALSE),1) &amp; DEC2HEX(1+2*VLOOKUP(H69,Common!$C$69:$D$72,2,FALSE),1) &amp; DEC2HEX(IFERROR(LOG(J69,2),0),1),0)</f>
        <v>0x05000570</v>
      </c>
      <c r="L69" s="29" t="str">
        <f t="shared" ref="L69" si="8">IF(AND(LEN(E69)&lt;&gt;0,S69=""),F69&amp;"_"&amp;UPPER(E69),"")</f>
        <v>AMP_GAIN</v>
      </c>
      <c r="M69" t="s">
        <v>252</v>
      </c>
      <c r="N69" s="29">
        <v>0</v>
      </c>
      <c r="O69" s="29">
        <v>0</v>
      </c>
      <c r="P69" s="29">
        <v>3</v>
      </c>
      <c r="Q69" s="29"/>
      <c r="R69" s="3" t="s">
        <v>246</v>
      </c>
      <c r="T69"/>
    </row>
    <row r="70" spans="1:35" s="34" customFormat="1" x14ac:dyDescent="0.25">
      <c r="D70" s="40"/>
      <c r="E70"/>
      <c r="F70" s="3" t="s">
        <v>247</v>
      </c>
      <c r="G70" s="3"/>
      <c r="H70" s="3"/>
      <c r="I70" s="33">
        <f t="shared" ref="I70:I78" si="9" xml:space="preserve"> I69+J69</f>
        <v>1</v>
      </c>
      <c r="J70" s="29"/>
      <c r="K70" s="10">
        <f xml:space="preserve"> IFERROR("0x" &amp; DEC2HEX(VLOOKUP(F70,Common!$C$10:$D$34,2,FALSE),2) &amp; DEC2HEX(I70,3) &amp; DEC2HEX(VLOOKUP(G70,Common!$C$51:$D$55,2,FALSE),1) &amp; DEC2HEX(1+2*VLOOKUP(H70,Common!$C$69:$D$72,2,FALSE),1) &amp; DEC2HEX(IFERROR(LOG(J70,2),0),1),0)</f>
        <v>0</v>
      </c>
      <c r="L70" s="3" t="s">
        <v>253</v>
      </c>
      <c r="M70" t="s">
        <v>257</v>
      </c>
      <c r="N70" s="29"/>
      <c r="O70" s="29"/>
      <c r="P70" s="29"/>
      <c r="Q70" s="29"/>
      <c r="R70" s="29"/>
      <c r="T70"/>
    </row>
    <row r="71" spans="1:35" s="34" customFormat="1" x14ac:dyDescent="0.25">
      <c r="D71" s="40"/>
      <c r="E71"/>
      <c r="F71" s="3" t="s">
        <v>247</v>
      </c>
      <c r="G71" s="3"/>
      <c r="H71" s="3"/>
      <c r="I71" s="33">
        <f t="shared" si="9"/>
        <v>1</v>
      </c>
      <c r="J71" s="29"/>
      <c r="K71" s="10">
        <f xml:space="preserve"> IFERROR("0x" &amp; DEC2HEX(VLOOKUP(F71,Common!$C$10:$D$34,2,FALSE),2) &amp; DEC2HEX(I71,3) &amp; DEC2HEX(VLOOKUP(G71,Common!$C$51:$D$55,2,FALSE),1) &amp; DEC2HEX(1+2*VLOOKUP(H71,Common!$C$69:$D$72,2,FALSE),1) &amp; DEC2HEX(IFERROR(LOG(J71,2),0),1),0)</f>
        <v>0</v>
      </c>
      <c r="L71" s="3" t="s">
        <v>254</v>
      </c>
      <c r="M71" t="s">
        <v>258</v>
      </c>
      <c r="N71" s="29"/>
      <c r="O71" s="29"/>
      <c r="P71" s="29"/>
      <c r="Q71" s="29"/>
      <c r="R71" s="29"/>
      <c r="T71"/>
    </row>
    <row r="72" spans="1:35" s="34" customFormat="1" x14ac:dyDescent="0.25">
      <c r="D72" s="40"/>
      <c r="E72"/>
      <c r="F72" s="3" t="s">
        <v>247</v>
      </c>
      <c r="G72" s="3"/>
      <c r="H72" s="3"/>
      <c r="I72" s="33">
        <f t="shared" si="9"/>
        <v>1</v>
      </c>
      <c r="J72" s="29"/>
      <c r="K72" s="10">
        <f xml:space="preserve"> IFERROR("0x" &amp; DEC2HEX(VLOOKUP(F72,Common!$C$10:$D$34,2,FALSE),2) &amp; DEC2HEX(I72,3) &amp; DEC2HEX(VLOOKUP(G72,Common!$C$51:$D$55,2,FALSE),1) &amp; DEC2HEX(1+2*VLOOKUP(H72,Common!$C$69:$D$72,2,FALSE),1) &amp; DEC2HEX(IFERROR(LOG(J72,2),0),1),0)</f>
        <v>0</v>
      </c>
      <c r="L72" s="3" t="s">
        <v>255</v>
      </c>
      <c r="M72" t="s">
        <v>259</v>
      </c>
      <c r="N72" s="29"/>
      <c r="O72" s="29"/>
      <c r="P72" s="29"/>
      <c r="Q72" s="29"/>
      <c r="R72" s="29"/>
      <c r="T72"/>
    </row>
    <row r="73" spans="1:35" s="34" customFormat="1" x14ac:dyDescent="0.25">
      <c r="D73" s="40"/>
      <c r="E73"/>
      <c r="F73" s="3" t="s">
        <v>247</v>
      </c>
      <c r="G73" s="3"/>
      <c r="H73" s="3"/>
      <c r="I73" s="33">
        <f t="shared" si="9"/>
        <v>1</v>
      </c>
      <c r="J73" s="29"/>
      <c r="K73" s="10">
        <f xml:space="preserve"> IFERROR("0x" &amp; DEC2HEX(VLOOKUP(F73,Common!$C$10:$D$34,2,FALSE),2) &amp; DEC2HEX(I73,3) &amp; DEC2HEX(VLOOKUP(G73,Common!$C$51:$D$55,2,FALSE),1) &amp; DEC2HEX(1+2*VLOOKUP(H73,Common!$C$69:$D$72,2,FALSE),1) &amp; DEC2HEX(IFERROR(LOG(J73,2),0),1),0)</f>
        <v>0</v>
      </c>
      <c r="L73" s="29" t="s">
        <v>256</v>
      </c>
      <c r="M73" t="s">
        <v>260</v>
      </c>
      <c r="N73" s="29"/>
      <c r="O73" s="29"/>
      <c r="P73" s="29"/>
      <c r="Q73" s="29"/>
      <c r="R73" s="3"/>
      <c r="T73"/>
    </row>
    <row r="74" spans="1:35" s="34" customFormat="1" x14ac:dyDescent="0.25">
      <c r="D74" s="40"/>
      <c r="E74" t="s">
        <v>261</v>
      </c>
      <c r="F74" s="3" t="s">
        <v>247</v>
      </c>
      <c r="G74" s="3" t="s">
        <v>114</v>
      </c>
      <c r="H74" s="3" t="s">
        <v>47</v>
      </c>
      <c r="I74" s="33">
        <f t="shared" ref="I74" si="10" xml:space="preserve"> I73+J73</f>
        <v>1</v>
      </c>
      <c r="J74" s="29">
        <v>1</v>
      </c>
      <c r="K74" s="10" t="str">
        <f xml:space="preserve"> IFERROR("0x" &amp; DEC2HEX(VLOOKUP(F74,Common!$C$10:$D$34,2,FALSE),2) &amp; DEC2HEX(I74,3) &amp; DEC2HEX(VLOOKUP(G74,Common!$C$51:$D$55,2,FALSE),1) &amp; DEC2HEX(1+2*VLOOKUP(H74,Common!$C$69:$D$72,2,FALSE),1) &amp; DEC2HEX(IFERROR(LOG(J74,2),0),1),0)</f>
        <v>0x05001570</v>
      </c>
      <c r="L74" s="29" t="str">
        <f t="shared" ref="L74" si="11">IF(AND(LEN(E74)&lt;&gt;0,S74=""),F74&amp;"_"&amp;UPPER(E74),"")</f>
        <v>AMP_LOAD</v>
      </c>
      <c r="M74" s="34" t="s">
        <v>271</v>
      </c>
      <c r="N74" s="29">
        <v>0</v>
      </c>
      <c r="O74" s="29">
        <v>0</v>
      </c>
      <c r="P74" s="29">
        <v>3</v>
      </c>
      <c r="Q74" s="29"/>
      <c r="R74" s="29"/>
      <c r="S74" s="29"/>
      <c r="T74"/>
    </row>
    <row r="75" spans="1:35" s="34" customFormat="1" x14ac:dyDescent="0.25">
      <c r="D75" s="40"/>
      <c r="E75"/>
      <c r="F75" s="3" t="s">
        <v>247</v>
      </c>
      <c r="G75" s="3"/>
      <c r="H75" s="3"/>
      <c r="I75" s="33">
        <f t="shared" si="9"/>
        <v>2</v>
      </c>
      <c r="J75" s="29"/>
      <c r="K75" s="10">
        <f xml:space="preserve"> IFERROR("0x" &amp; DEC2HEX(VLOOKUP(F75,Common!$C$10:$D$34,2,FALSE),2) &amp; DEC2HEX(I75,3) &amp; DEC2HEX(VLOOKUP(G75,Common!$C$51:$D$55,2,FALSE),1) &amp; DEC2HEX(1+2*VLOOKUP(H75,Common!$C$69:$D$72,2,FALSE),1) &amp; DEC2HEX(IFERROR(LOG(J75,2),0),1),0)</f>
        <v>0</v>
      </c>
      <c r="L75" s="29" t="s">
        <v>262</v>
      </c>
      <c r="M75" t="s">
        <v>267</v>
      </c>
      <c r="N75" s="29"/>
      <c r="O75" s="29"/>
      <c r="P75" s="29"/>
      <c r="Q75" s="3"/>
      <c r="R75" s="29"/>
      <c r="S75" s="29"/>
      <c r="T75"/>
    </row>
    <row r="76" spans="1:35" s="34" customFormat="1" x14ac:dyDescent="0.25">
      <c r="D76" s="40"/>
      <c r="E76"/>
      <c r="F76" s="3" t="s">
        <v>247</v>
      </c>
      <c r="G76" s="3"/>
      <c r="H76" s="3"/>
      <c r="I76" s="33">
        <f t="shared" si="9"/>
        <v>2</v>
      </c>
      <c r="J76" s="29"/>
      <c r="K76" s="10">
        <f xml:space="preserve"> IFERROR("0x" &amp; DEC2HEX(VLOOKUP(F76,Common!$C$10:$D$34,2,FALSE),2) &amp; DEC2HEX(I76,3) &amp; DEC2HEX(VLOOKUP(G76,Common!$C$51:$D$55,2,FALSE),1) &amp; DEC2HEX(1+2*VLOOKUP(H76,Common!$C$69:$D$72,2,FALSE),1) &amp; DEC2HEX(IFERROR(LOG(J76,2),0),1),0)</f>
        <v>0</v>
      </c>
      <c r="L76" s="29" t="s">
        <v>263</v>
      </c>
      <c r="M76" t="s">
        <v>268</v>
      </c>
      <c r="N76" s="29"/>
      <c r="O76" s="29"/>
      <c r="P76" s="29"/>
      <c r="Q76" s="3"/>
      <c r="R76" s="29"/>
      <c r="T76"/>
    </row>
    <row r="77" spans="1:35" s="34" customFormat="1" x14ac:dyDescent="0.25">
      <c r="D77" s="40"/>
      <c r="E77"/>
      <c r="F77" s="3" t="s">
        <v>247</v>
      </c>
      <c r="G77" s="3"/>
      <c r="H77" s="3"/>
      <c r="I77" s="33">
        <f t="shared" si="9"/>
        <v>2</v>
      </c>
      <c r="J77" s="29"/>
      <c r="K77" s="10">
        <f xml:space="preserve"> IFERROR("0x" &amp; DEC2HEX(VLOOKUP(F77,Common!$C$10:$D$34,2,FALSE),2) &amp; DEC2HEX(I77,3) &amp; DEC2HEX(VLOOKUP(G77,Common!$C$51:$D$55,2,FALSE),1) &amp; DEC2HEX(1+2*VLOOKUP(H77,Common!$C$69:$D$72,2,FALSE),1) &amp; DEC2HEX(IFERROR(LOG(J77,2),0),1),0)</f>
        <v>0</v>
      </c>
      <c r="L77" s="29" t="s">
        <v>264</v>
      </c>
      <c r="M77" t="s">
        <v>269</v>
      </c>
      <c r="N77" s="29"/>
      <c r="O77" s="3"/>
      <c r="P77" s="29"/>
      <c r="Q77" s="3"/>
      <c r="R77" s="3"/>
      <c r="T77"/>
    </row>
    <row r="78" spans="1:35" s="34" customFormat="1" x14ac:dyDescent="0.25">
      <c r="D78" s="40"/>
      <c r="E78"/>
      <c r="F78" s="3" t="s">
        <v>247</v>
      </c>
      <c r="G78" s="3"/>
      <c r="H78" s="3"/>
      <c r="I78" s="33">
        <f t="shared" si="9"/>
        <v>2</v>
      </c>
      <c r="K78" s="10">
        <f xml:space="preserve"> IFERROR("0x" &amp; DEC2HEX(VLOOKUP(F78,Common!$C$10:$D$34,2,FALSE),2) &amp; DEC2HEX(I78,3) &amp; DEC2HEX(VLOOKUP(G78,Common!$C$51:$D$55,2,FALSE),1) &amp; DEC2HEX(1+2*VLOOKUP(H78,Common!$C$69:$D$72,2,FALSE),1) &amp; DEC2HEX(IFERROR(LOG(J78,2),0),1),0)</f>
        <v>0</v>
      </c>
      <c r="L78" s="29" t="s">
        <v>265</v>
      </c>
      <c r="M78" t="s">
        <v>270</v>
      </c>
      <c r="N78" s="29"/>
      <c r="O78" s="3"/>
      <c r="P78" s="29"/>
      <c r="Q78" s="3"/>
      <c r="R78" s="3"/>
      <c r="T78"/>
    </row>
    <row r="79" spans="1:35" s="34" customFormat="1" x14ac:dyDescent="0.25">
      <c r="D79" s="40"/>
      <c r="E79"/>
      <c r="F79" s="3"/>
      <c r="G79" s="3" t="s">
        <v>266</v>
      </c>
      <c r="H79" s="3"/>
      <c r="I79" s="33"/>
      <c r="J79" s="58"/>
      <c r="K79" s="58"/>
      <c r="L79" s="29"/>
      <c r="M79"/>
      <c r="N79" s="29"/>
      <c r="O79" s="3"/>
      <c r="P79" s="3"/>
      <c r="Q79" s="3"/>
      <c r="R79" s="3"/>
      <c r="T79"/>
    </row>
    <row r="80" spans="1:35" s="10" customFormat="1" x14ac:dyDescent="0.25">
      <c r="A80" s="12"/>
      <c r="B80" s="12"/>
      <c r="C80" s="12"/>
      <c r="D80"/>
      <c r="E80" s="24"/>
      <c r="F80" s="23"/>
      <c r="G80" s="23"/>
      <c r="H80" s="26"/>
      <c r="I80" s="22"/>
      <c r="L80" s="22"/>
      <c r="M80" s="21"/>
      <c r="N80" s="22"/>
      <c r="O80" s="22"/>
      <c r="P80" s="22"/>
      <c r="Q80" s="23"/>
      <c r="R80" s="23"/>
      <c r="S80" s="22"/>
      <c r="T80" s="21"/>
      <c r="U80"/>
      <c r="V80"/>
      <c r="W80"/>
      <c r="X80"/>
      <c r="Y80"/>
      <c r="Z80" s="12"/>
      <c r="AA80" s="12"/>
      <c r="AB80" s="12"/>
      <c r="AC80" s="12"/>
      <c r="AD80" s="12"/>
      <c r="AE80" s="12"/>
      <c r="AF80" s="12"/>
      <c r="AG80" s="12"/>
      <c r="AH80" s="12"/>
      <c r="AI80" s="12"/>
    </row>
    <row r="81" spans="1:35" s="10" customFormat="1" x14ac:dyDescent="0.25">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34" customFormat="1" x14ac:dyDescent="0.25">
      <c r="D82" s="40"/>
      <c r="E82" s="2" t="s">
        <v>238</v>
      </c>
      <c r="F82" s="3" t="s">
        <v>239</v>
      </c>
      <c r="G82" s="3" t="s">
        <v>48</v>
      </c>
      <c r="H82" s="3" t="s">
        <v>45</v>
      </c>
      <c r="I82" s="29">
        <v>0</v>
      </c>
      <c r="J82" s="29">
        <v>4</v>
      </c>
      <c r="K82" s="10" t="str">
        <f xml:space="preserve"> IFERROR("0x" &amp; DEC2HEX(VLOOKUP(F82,Common!$C$10:$D$34,2,FALSE),2) &amp; DEC2HEX(I82,3) &amp; DEC2HEX(VLOOKUP(G82,Common!$C$51:$D$55,2,FALSE),1) &amp; DEC2HEX(1+2*VLOOKUP(H82,Common!$C$69:$D$72,2,FALSE),1) &amp; DEC2HEX(IFERROR(LOG(J82,2),0),1),0)</f>
        <v>0x06000112</v>
      </c>
      <c r="L82" s="29" t="str">
        <f>IF(AND(LEN(E82)&lt;&gt;0,S82=""),F82&amp;"_"&amp;UPPER(E82),"")</f>
        <v>DBG_WRITES_CONF</v>
      </c>
      <c r="M82" t="s">
        <v>240</v>
      </c>
      <c r="N82" s="29"/>
      <c r="O82" s="29">
        <v>0</v>
      </c>
      <c r="P82" s="29">
        <v>1000000</v>
      </c>
      <c r="Q82" s="3" t="s">
        <v>241</v>
      </c>
      <c r="R82" s="29"/>
      <c r="S82" s="29"/>
      <c r="T82" t="s">
        <v>242</v>
      </c>
    </row>
    <row r="83" spans="1:35" s="10" customFormat="1" x14ac:dyDescent="0.25">
      <c r="A83" s="12"/>
      <c r="B83" s="12"/>
      <c r="C83" s="12"/>
      <c r="D83"/>
      <c r="E83" s="24"/>
      <c r="F83" s="23"/>
      <c r="G83" s="23"/>
      <c r="H83" s="26"/>
      <c r="I83" s="22"/>
      <c r="J83" s="22"/>
      <c r="K83" s="22"/>
      <c r="L83" s="22"/>
      <c r="M83" s="21"/>
      <c r="N83" s="22"/>
      <c r="O83" s="22"/>
      <c r="P83" s="22"/>
      <c r="Q83" s="23"/>
      <c r="R83" s="23"/>
      <c r="S83" s="22"/>
      <c r="T83" s="21"/>
      <c r="U83"/>
      <c r="V83"/>
      <c r="W83"/>
      <c r="X83"/>
      <c r="Y83"/>
      <c r="Z83" s="12"/>
      <c r="AA83" s="12"/>
      <c r="AB83" s="12"/>
      <c r="AC83" s="12"/>
      <c r="AD83" s="12"/>
      <c r="AE83" s="12"/>
      <c r="AF83" s="12"/>
      <c r="AG83" s="12"/>
      <c r="AH83" s="12"/>
      <c r="AI83" s="12"/>
    </row>
    <row r="84" spans="1:35" s="10" customFormat="1" x14ac:dyDescent="0.25">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25">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11</xdr:col>
                <xdr:colOff>9525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11</xdr:col>
                <xdr:colOff>9525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11</xdr:col>
                <xdr:colOff>9525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10</xdr:col>
                <xdr:colOff>781050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topLeftCell="A12" workbookViewId="0">
      <selection activeCell="F18" sqref="F18"/>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247</v>
      </c>
      <c r="D16" s="3">
        <v>5</v>
      </c>
      <c r="E16" t="s">
        <v>248</v>
      </c>
      <c r="F16" t="s">
        <v>249</v>
      </c>
    </row>
    <row r="17" spans="3:6" x14ac:dyDescent="0.25">
      <c r="C17" t="s">
        <v>239</v>
      </c>
      <c r="D17" s="3">
        <v>6</v>
      </c>
      <c r="E17" t="s">
        <v>87</v>
      </c>
      <c r="F17" t="s">
        <v>250</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2024-07-29T11:09:04Z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